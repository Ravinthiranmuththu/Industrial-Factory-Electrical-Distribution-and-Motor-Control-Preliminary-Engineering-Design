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3d8169afd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Basis" sheetId="1" r:id="Raf1856fe64784f5b"/>
    <x:sheet xmlns:r="http://schemas.openxmlformats.org/officeDocument/2006/relationships" name="Motor Register" sheetId="2" r:id="Rd230ef1807e3455b"/>
    <x:sheet xmlns:r="http://schemas.openxmlformats.org/officeDocument/2006/relationships" name="Demand Study" sheetId="3" r:id="R05849450ba5d4975"/>
    <x:sheet xmlns:r="http://schemas.openxmlformats.org/officeDocument/2006/relationships" name="Feeder Schedule" sheetId="4" r:id="R872754b4072a4afd"/>
    <x:sheet xmlns:r="http://schemas.openxmlformats.org/officeDocument/2006/relationships" name="Protection Coordination" sheetId="5" r:id="Rda4de699fb834618"/>
    <x:sheet xmlns:r="http://schemas.openxmlformats.org/officeDocument/2006/relationships" name="Panel Schedule" sheetId="6" r:id="R8a2d42da78d4472d"/>
    <x:sheet xmlns:r="http://schemas.openxmlformats.org/officeDocument/2006/relationships" name="MCC IO &amp; Control" sheetId="7" r:id="R946fe526d81d4a3d"/>
    <x:sheet xmlns:r="http://schemas.openxmlformats.org/officeDocument/2006/relationships" name="Cable Routing" sheetId="8" r:id="Rf375ca4d248c4f53"/>
    <x:sheet xmlns:r="http://schemas.openxmlformats.org/officeDocument/2006/relationships" name="BOQ" sheetId="9" r:id="R9695b99be71a4a12"/>
    <x:sheet xmlns:r="http://schemas.openxmlformats.org/officeDocument/2006/relationships" name="Design Hold Points" sheetId="10" r:id="R38c25d984317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503095a3148e1" /><Relationship Type="http://schemas.openxmlformats.org/officeDocument/2006/relationships/theme" Target="/xl/theme/theme1.xml" Id="R344cbea8b7b340f0" /><Relationship Type="http://schemas.openxmlformats.org/officeDocument/2006/relationships/sharedStrings" Target="/xl/sharedStrings.xml" Id="R71382484e0064802" /><Relationship Type="http://schemas.openxmlformats.org/officeDocument/2006/relationships/worksheet" Target="/xl/worksheets/sheet1.xml" Id="Raf1856fe64784f5b" /><Relationship Type="http://schemas.openxmlformats.org/officeDocument/2006/relationships/worksheet" Target="/xl/worksheets/sheet2.xml" Id="Rd230ef1807e3455b" /><Relationship Type="http://schemas.openxmlformats.org/officeDocument/2006/relationships/worksheet" Target="/xl/worksheets/sheet3.xml" Id="R05849450ba5d4975" /><Relationship Type="http://schemas.openxmlformats.org/officeDocument/2006/relationships/worksheet" Target="/xl/worksheets/sheet4.xml" Id="R872754b4072a4afd" /><Relationship Type="http://schemas.openxmlformats.org/officeDocument/2006/relationships/worksheet" Target="/xl/worksheets/sheet5.xml" Id="Rda4de699fb834618" /><Relationship Type="http://schemas.openxmlformats.org/officeDocument/2006/relationships/worksheet" Target="/xl/worksheets/sheet6.xml" Id="R8a2d42da78d4472d" /><Relationship Type="http://schemas.openxmlformats.org/officeDocument/2006/relationships/worksheet" Target="/xl/worksheets/sheet7.xml" Id="R946fe526d81d4a3d" /><Relationship Type="http://schemas.openxmlformats.org/officeDocument/2006/relationships/worksheet" Target="/xl/worksheets/sheet8.xml" Id="Rf375ca4d248c4f53" /><Relationship Type="http://schemas.openxmlformats.org/officeDocument/2006/relationships/worksheet" Target="/xl/worksheets/sheet9.xml" Id="R9695b99be71a4a12" /><Relationship Type="http://schemas.openxmlformats.org/officeDocument/2006/relationships/worksheet" Target="/xl/worksheets/sheet10.xml" Id="R38c25d9843174b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18" hidden="0" customWidth="1"/>
    <x:col min="4" max="4" width="60" hidden="0" customWidth="1"/>
  </x:cols>
  <x:sheetData>
    <x:row r="1" ht="28" customHeight="1">
      <x:c r="A1" s="3" t="str">
        <x:v>Parameter</x:v>
      </x:c>
      <x:c r="B1" s="3" t="str">
        <x:v>Value</x:v>
      </x:c>
      <x:c r="C1" s="3" t="str">
        <x:v>Unit</x:v>
      </x:c>
      <x:c r="D1" s="3" t="str">
        <x:v>Status / explanation</x:v>
      </x:c>
    </x:row>
    <x:row r="2">
      <x:c r="A2" t="str">
        <x:v>Facility</x:v>
      </x:c>
      <x:c r="B2" t="str">
        <x:v>Light manufacturing and packaging</x:v>
      </x:c>
      <x:c r="C2" t="str"/>
      <x:c r="D2" t="str">
        <x:v>Hypothetical site</x:v>
      </x:c>
    </x:row>
    <x:row r="3">
      <x:c r="A3" t="str">
        <x:v>LV supply</x:v>
      </x:c>
      <x:c r="B3" t="n">
        <x:v>400</x:v>
      </x:c>
      <x:c r="C3" t="str">
        <x:v>V line-line</x:v>
      </x:c>
      <x:c r="D3" t="str">
        <x:v>50 Hz, 3 phase</x:v>
      </x:c>
    </x:row>
    <x:row r="4">
      <x:c r="A4" t="str">
        <x:v>Transformer</x:v>
      </x:c>
      <x:c r="B4" t="n">
        <x:v>630</x:v>
      </x:c>
      <x:c r="C4" t="str">
        <x:v>kVA</x:v>
      </x:c>
      <x:c r="D4" t="str">
        <x:v>Candidate; requires load and utility approval</x:v>
      </x:c>
    </x:row>
    <x:row r="5">
      <x:c r="A5" t="str">
        <x:v>Transformer impedance</x:v>
      </x:c>
      <x:c r="B5" t="n">
        <x:v>6</x:v>
      </x:c>
      <x:c r="C5" t="str">
        <x:v>%</x:v>
      </x:c>
      <x:c r="D5" t="str">
        <x:v>Assumed; verify nameplate</x:v>
      </x:c>
    </x:row>
    <x:row r="6">
      <x:c r="A6" t="str">
        <x:v>LV nominal voltage</x:v>
      </x:c>
      <x:c r="B6" t="n">
        <x:v>400</x:v>
      </x:c>
      <x:c r="C6" t="str">
        <x:v>V</x:v>
      </x:c>
      <x:c r="D6" t="str">
        <x:v>Assumed</x:v>
      </x:c>
    </x:row>
    <x:row r="7">
      <x:c r="A7" t="str">
        <x:v>Supply earthing</x:v>
      </x:c>
      <x:c r="B7" t="str">
        <x:v>TBD</x:v>
      </x:c>
      <x:c r="C7" t="str"/>
      <x:c r="D7" t="str">
        <x:v>Survey required</x:v>
      </x:c>
    </x:row>
    <x:row r="8">
      <x:c r="A8" t="str">
        <x:v>Prospective fault level</x:v>
      </x:c>
      <x:c r="B8" t="str">
        <x:v>TBD</x:v>
      </x:c>
      <x:c r="C8" t="str">
        <x:v>kA</x:v>
      </x:c>
      <x:c r="D8" t="str">
        <x:v>Measure or obtain from utility</x:v>
      </x:c>
    </x:row>
    <x:row r="9">
      <x:c r="A9" t="str">
        <x:v>Cable installation</x:v>
      </x:c>
      <x:c r="B9" t="str">
        <x:v>Tray / conduit / buried</x:v>
      </x:c>
      <x:c r="C9" t="str"/>
      <x:c r="D9" t="str">
        <x:v>Per route schedule</x:v>
      </x:c>
    </x:row>
    <x:row r="10">
      <x:c r="A10" t="str">
        <x:v>Factory area</x:v>
      </x:c>
      <x:c r="B10" t="n">
        <x:v>2200</x:v>
      </x:c>
      <x:c r="C10" t="str">
        <x:v>m2</x:v>
      </x:c>
      <x:c r="D10" t="str">
        <x:v>Conceptual site</x:v>
      </x:c>
    </x:row>
    <x:row r="11">
      <x:c r="A11" t="str">
        <x:v>Document status</x:v>
      </x:c>
      <x:c r="B11" t="str">
        <x:v>PRELIMINARY - NOT FOR CONSTRUCTION</x:v>
      </x:c>
      <x:c r="C11" t="str"/>
      <x:c r="D11" t="str">
        <x:v>Rev 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5" hidden="0" customWidth="1"/>
    <x:col min="4" max="4" width="16" hidden="0" customWidth="1"/>
    <x:col min="5" max="5" width="16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  <x:col min="10" max="10" width="55" hidden="0" customWidth="1"/>
  </x:cols>
  <x:sheetData>
    <x:row r="1" ht="28" customHeight="1">
      <x:c r="A1" s="3" t="str">
        <x:v>Tag</x:v>
      </x:c>
      <x:c r="B1" s="3" t="str">
        <x:v>Duty</x:v>
      </x:c>
      <x:c r="C1" s="3" t="str">
        <x:v>Motor kW</x:v>
      </x:c>
      <x:c r="D1" s="3" t="str">
        <x:v>Starter</x:v>
      </x:c>
      <x:c r="E1" s="3" t="str">
        <x:v>Efficiency</x:v>
      </x:c>
      <x:c r="F1" s="3" t="str">
        <x:v>PF</x:v>
      </x:c>
      <x:c r="G1" s="3" t="str">
        <x:v>Route m</x:v>
      </x:c>
      <x:c r="H1" s="3" t="str">
        <x:v>Input kW</x:v>
      </x:c>
      <x:c r="I1" s="3" t="str">
        <x:v>FLA A</x:v>
      </x:c>
      <x:c r="J1" s="3" t="str">
        <x:v>Verification</x:v>
      </x:c>
    </x:row>
    <x:row r="2">
      <x:c r="A2" t="str">
        <x:v>M-01</x:v>
      </x:c>
      <x:c r="B2" t="str">
        <x:v>Compressor</x:v>
      </x:c>
      <x:c r="C2" t="n">
        <x:v>55</x:v>
      </x:c>
      <x:c r="D2" t="str">
        <x:v>VFD</x:v>
      </x:c>
      <x:c r="E2" t="n">
        <x:v>0.94</x:v>
      </x:c>
      <x:c r="F2" t="n">
        <x:v>0.87</x:v>
      </x:c>
      <x:c r="G2" t="n">
        <x:v>65</x:v>
      </x:c>
      <x:c r="H2" t="n">
        <x:f>C2/E2</x:f>
        <x:v>58.51063829787234</x:v>
      </x:c>
      <x:c r="I2" t="n">
        <x:f>H2*1000/(SQRT(3)*400*F2)</x:f>
        <x:v>97.07222060842938</x:v>
      </x:c>
      <x:c r="J2" t="str">
        <x:v>Verify nameplate, cable route and VFD harmonic effects</x:v>
      </x:c>
    </x:row>
    <x:row r="3">
      <x:c r="A3" t="str">
        <x:v>M-02</x:v>
      </x:c>
      <x:c r="B3" t="str">
        <x:v>Conveyor A</x:v>
      </x:c>
      <x:c r="C3" t="n">
        <x:v>15</x:v>
      </x:c>
      <x:c r="D3" t="str">
        <x:v>VFD</x:v>
      </x:c>
      <x:c r="E3" t="n">
        <x:v>0.91</x:v>
      </x:c>
      <x:c r="F3" t="n">
        <x:v>0.84</x:v>
      </x:c>
      <x:c r="G3" t="n">
        <x:v>40</x:v>
      </x:c>
      <x:c r="H3" t="n">
        <x:f>C3/E3</x:f>
        <x:v>16.483516483516482</x:v>
      </x:c>
      <x:c r="I3" t="n">
        <x:f>H3*1000/(SQRT(3)*400*F3)</x:f>
        <x:v>28.32369844925558</x:v>
      </x:c>
      <x:c r="J3" t="str">
        <x:v>Verify nameplate, cable route and VFD harmonic effects</x:v>
      </x:c>
    </x:row>
    <x:row r="4">
      <x:c r="A4" t="str">
        <x:v>M-03</x:v>
      </x:c>
      <x:c r="B4" t="str">
        <x:v>Conveyor B</x:v>
      </x:c>
      <x:c r="C4" t="n">
        <x:v>15</x:v>
      </x:c>
      <x:c r="D4" t="str">
        <x:v>VFD</x:v>
      </x:c>
      <x:c r="E4" t="n">
        <x:v>0.91</x:v>
      </x:c>
      <x:c r="F4" t="n">
        <x:v>0.84</x:v>
      </x:c>
      <x:c r="G4" t="n">
        <x:v>48</x:v>
      </x:c>
      <x:c r="H4" t="n">
        <x:f>C4/E4</x:f>
        <x:v>16.483516483516482</x:v>
      </x:c>
      <x:c r="I4" t="n">
        <x:f>H4*1000/(SQRT(3)*400*F4)</x:f>
        <x:v>28.32369844925558</x:v>
      </x:c>
      <x:c r="J4" t="str">
        <x:v>Verify nameplate, cable route and VFD harmonic effects</x:v>
      </x:c>
    </x:row>
    <x:row r="5">
      <x:c r="A5" t="str">
        <x:v>M-04</x:v>
      </x:c>
      <x:c r="B5" t="str">
        <x:v>Mixer</x:v>
      </x:c>
      <x:c r="C5" t="n">
        <x:v>30</x:v>
      </x:c>
      <x:c r="D5" t="str">
        <x:v>Star-delta</x:v>
      </x:c>
      <x:c r="E5" t="n">
        <x:v>0.92</x:v>
      </x:c>
      <x:c r="F5" t="n">
        <x:v>0.85</x:v>
      </x:c>
      <x:c r="G5" t="n">
        <x:v>55</x:v>
      </x:c>
      <x:c r="H5" t="n">
        <x:f>C5/E5</x:f>
        <x:v>32.608695652173914</x:v>
      </x:c>
      <x:c r="I5" t="n">
        <x:f>H5*1000/(SQRT(3)*400*F5)</x:f>
        <x:v>55.372468272662324</x:v>
      </x:c>
      <x:c r="J5" t="str">
        <x:v>Verify nameplate, cable route and VFD harmonic effects</x:v>
      </x:c>
    </x:row>
    <x:row r="6">
      <x:c r="A6" t="str">
        <x:v>M-05</x:v>
      </x:c>
      <x:c r="B6" t="str">
        <x:v>Cooling pump</x:v>
      </x:c>
      <x:c r="C6" t="n">
        <x:v>22</x:v>
      </x:c>
      <x:c r="D6" t="str">
        <x:v>VFD</x:v>
      </x:c>
      <x:c r="E6" t="n">
        <x:v>0.92</x:v>
      </x:c>
      <x:c r="F6" t="n">
        <x:v>0.85</x:v>
      </x:c>
      <x:c r="G6" t="n">
        <x:v>60</x:v>
      </x:c>
      <x:c r="H6" t="n">
        <x:f>C6/E6</x:f>
        <x:v>23.913043478260867</x:v>
      </x:c>
      <x:c r="I6" t="n">
        <x:f>H6*1000/(SQRT(3)*400*F6)</x:f>
        <x:v>40.606476733285696</x:v>
      </x:c>
      <x:c r="J6" t="str">
        <x:v>Verify nameplate, cable route and VFD harmonic effects</x:v>
      </x:c>
    </x:row>
    <x:row r="7">
      <x:c r="A7" t="str">
        <x:v>M-06</x:v>
      </x:c>
      <x:c r="B7" t="str">
        <x:v>Dust fan</x:v>
      </x:c>
      <x:c r="C7" t="n">
        <x:v>18.5</x:v>
      </x:c>
      <x:c r="D7" t="str">
        <x:v>VFD</x:v>
      </x:c>
      <x:c r="E7" t="n">
        <x:v>0.91</x:v>
      </x:c>
      <x:c r="F7" t="n">
        <x:v>0.85</x:v>
      </x:c>
      <x:c r="G7" t="n">
        <x:v>75</x:v>
      </x:c>
      <x:c r="H7" t="n">
        <x:f>C7/E7</x:f>
        <x:v>20.32967032967033</x:v>
      </x:c>
      <x:c r="I7" t="n">
        <x:f>H7*1000/(SQRT(3)*400*F7)</x:f>
        <x:v>34.52159010991621</x:v>
      </x:c>
      <x:c r="J7" t="str">
        <x:v>Verify nameplate, cable route and VFD harmonic effects</x:v>
      </x:c>
    </x:row>
    <x:row r="8">
      <x:c r="A8" t="str">
        <x:v>M-07</x:v>
      </x:c>
      <x:c r="B8" t="str">
        <x:v>Material handling</x:v>
      </x:c>
      <x:c r="C8" t="n">
        <x:v>11</x:v>
      </x:c>
      <x:c r="D8" t="str">
        <x:v>DOL</x:v>
      </x:c>
      <x:c r="E8" t="n">
        <x:v>0.9</x:v>
      </x:c>
      <x:c r="F8" t="n">
        <x:v>0.83</x:v>
      </x:c>
      <x:c r="G8" t="n">
        <x:v>38</x:v>
      </x:c>
      <x:c r="H8" t="n">
        <x:f>C8/E8</x:f>
        <x:v>12.222222222222221</x:v>
      </x:c>
      <x:c r="I8" t="n">
        <x:f>H8*1000/(SQRT(3)*400*F8)</x:f>
        <x:v>21.254527982215137</x:v>
      </x:c>
      <x:c r="J8" t="str">
        <x:v>Verify nameplate, cable route and VFD harmonic effects</x:v>
      </x:c>
    </x:row>
    <x:row r="9">
      <x:c r="A9" t="str">
        <x:v>M-08</x:v>
      </x:c>
      <x:c r="B9" t="str">
        <x:v>Transfer pump</x:v>
      </x:c>
      <x:c r="C9" t="n">
        <x:v>7.5</x:v>
      </x:c>
      <x:c r="D9" t="str">
        <x:v>DOL</x:v>
      </x:c>
      <x:c r="E9" t="n">
        <x:v>0.89</x:v>
      </x:c>
      <x:c r="F9" t="n">
        <x:v>0.82</x:v>
      </x:c>
      <x:c r="G9" t="n">
        <x:v>45</x:v>
      </x:c>
      <x:c r="H9" t="n">
        <x:f>C9/E9</x:f>
        <x:v>8.426966292134832</x:v>
      </x:c>
      <x:c r="I9" t="n">
        <x:f>H9*1000/(SQRT(3)*400*F9)</x:f>
        <x:v>14.833266028097402</x:v>
      </x:c>
      <x:c r="J9" t="str">
        <x:v>Verify nameplate, cable route and VFD harmonic effects</x:v>
      </x:c>
    </x:row>
    <x:row r="10">
      <x:c r="A10" t="str">
        <x:v>M-09</x:v>
      </x:c>
      <x:c r="B10" t="str">
        <x:v>Exhaust fan</x:v>
      </x:c>
      <x:c r="C10" t="n">
        <x:v>5.5</x:v>
      </x:c>
      <x:c r="D10" t="str">
        <x:v>DOL</x:v>
      </x:c>
      <x:c r="E10" t="n">
        <x:v>0.88</x:v>
      </x:c>
      <x:c r="F10" t="n">
        <x:v>0.82</x:v>
      </x:c>
      <x:c r="G10" t="n">
        <x:v>52</x:v>
      </x:c>
      <x:c r="H10" t="n">
        <x:f>C10/E10</x:f>
        <x:v>6.25</x:v>
      </x:c>
      <x:c r="I10" t="n">
        <x:f>H10*1000/(SQRT(3)*400*F10)</x:f>
        <x:v>11.001338970838907</x:v>
      </x:c>
      <x:c r="J10" t="str">
        <x:v>Verify nameplate, cable route and VFD harmonic effects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0" hidden="0" customWidth="1"/>
    <x:col min="5" max="5" width="58" hidden="0" customWidth="1"/>
  </x:cols>
  <x:sheetData>
    <x:row r="1" ht="28" customHeight="1">
      <x:c r="A1" s="3" t="str">
        <x:v>Load group</x:v>
      </x:c>
      <x:c r="B1" s="3" t="str">
        <x:v>Connected kW</x:v>
      </x:c>
      <x:c r="C1" s="3" t="str">
        <x:v>Demand factor</x:v>
      </x:c>
      <x:c r="D1" s="3" t="str">
        <x:v>Demand kW</x:v>
      </x:c>
      <x:c r="E1" s="3" t="str">
        <x:v>Notes</x:v>
      </x:c>
    </x:row>
    <x:row r="2">
      <x:c r="A2" t="str">
        <x:v>Active motors</x:v>
      </x:c>
      <x:c r="B2" t="n">
        <x:f>SUM('Motor Register'!H2:H10)</x:f>
        <x:v>195.2282692393675</x:v>
      </x:c>
      <x:c r="C2" t="n">
        <x:v>0.78</x:v>
      </x:c>
      <x:c r="D2" t="n">
        <x:f>B2*C2</x:f>
        <x:v>152.27805000670665</x:v>
      </x:c>
      <x:c r="E2" t="str">
        <x:v>Coincidence allowance; validate operating cycles</x:v>
      </x:c>
    </x:row>
    <x:row r="3">
      <x:c r="A3" t="str">
        <x:v>Lighting</x:v>
      </x:c>
      <x:c r="B3" t="n">
        <x:v>22</x:v>
      </x:c>
      <x:c r="C3" t="n">
        <x:v>0.95</x:v>
      </x:c>
      <x:c r="D3" t="n">
        <x:f>B3*C3</x:f>
        <x:v>20.9</x:v>
      </x:c>
      <x:c r="E3" t="str">
        <x:v>Conceptual LED allowance</x:v>
      </x:c>
    </x:row>
    <x:row r="4">
      <x:c r="A4" t="str">
        <x:v>Office and sockets</x:v>
      </x:c>
      <x:c r="B4" t="n">
        <x:v>35</x:v>
      </x:c>
      <x:c r="C4" t="n">
        <x:v>0.7</x:v>
      </x:c>
      <x:c r="D4" t="n">
        <x:f>B4*C4</x:f>
        <x:v>24.5</x:v>
      </x:c>
      <x:c r="E4" t="str">
        <x:v>Preliminary</x:v>
      </x:c>
    </x:row>
    <x:row r="5">
      <x:c r="A5" t="str">
        <x:v>HVAC and ventilation other</x:v>
      </x:c>
      <x:c r="B5" t="n">
        <x:v>45</x:v>
      </x:c>
      <x:c r="C5" t="n">
        <x:v>0.8</x:v>
      </x:c>
      <x:c r="D5" t="n">
        <x:f>B5*C5</x:f>
        <x:v>36</x:v>
      </x:c>
      <x:c r="E5" t="str">
        <x:v>Preliminary</x:v>
      </x:c>
    </x:row>
    <x:row r="6">
      <x:c r="A6" t="str">
        <x:v>Future allowance</x:v>
      </x:c>
      <x:c r="B6" t="n">
        <x:v>40</x:v>
      </x:c>
      <x:c r="C6" t="n">
        <x:v>0.5</x:v>
      </x:c>
      <x:c r="D6" t="n">
        <x:f>B6*C6</x:f>
        <x:v>20</x:v>
      </x:c>
      <x:c r="E6" t="str">
        <x:v>Separate growth scenario</x:v>
      </x:c>
    </x:row>
    <x:row r="7">
      <x:c r="A7" t="str">
        <x:v>TOTAL</x:v>
      </x:c>
      <x:c r="B7" t="n">
        <x:f>SUM(B2:B6)</x:f>
        <x:v>337.2282692393675</x:v>
      </x:c>
      <x:c r="C7"/>
      <x:c r="D7" t="n">
        <x:f>SUM(D2:D6)</x:f>
        <x:v>253.67805000670666</x:v>
      </x:c>
      <x:c r="E7" t="str">
        <x:v>Does not establish utility maximum demand</x:v>
      </x:c>
    </x:row>
    <x:row r="8">
      <x:c r="A8" t="str">
        <x:v>Apparent demand kVA</x:v>
      </x:c>
      <x:c r="B8"/>
      <x:c r="C8"/>
      <x:c r="D8" t="n">
        <x:f>D7/0.9</x:f>
        <x:v>281.86450000745185</x:v>
      </x:c>
      <x:c r="E8" t="str">
        <x:v>Assume aggregate PF 0.90</x:v>
      </x:c>
    </x:row>
    <x:row r="9">
      <x:c r="A9" t="str">
        <x:v>Line current A</x:v>
      </x:c>
      <x:c r="B9"/>
      <x:c r="C9"/>
      <x:c r="D9" t="n">
        <x:f>D8*1000/(SQRT(3)*400)</x:f>
        <x:v>406.836362385754</x:v>
      </x:c>
      <x:c r="E9" t="str">
        <x:v>400 V three-phase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4" hidden="0" customWidth="1"/>
    <x:col min="4" max="4" width="16" hidden="0" customWidth="1"/>
    <x:col min="5" max="5" width="18" hidden="0" customWidth="1"/>
    <x:col min="6" max="6" width="42" hidden="0" customWidth="1"/>
    <x:col min="7" max="7" width="26" hidden="0" customWidth="1"/>
    <x:col min="8" max="8" width="20" hidden="0" customWidth="1"/>
    <x:col min="9" max="9" width="20" hidden="0" customWidth="1"/>
    <x:col min="10" max="10" width="54" hidden="0" customWidth="1"/>
  </x:cols>
  <x:sheetData>
    <x:row r="1" ht="28" customHeight="1">
      <x:c r="A1" s="3" t="str">
        <x:v>Circuit</x:v>
      </x:c>
      <x:c r="B1" s="3" t="str">
        <x:v>From - To</x:v>
      </x:c>
      <x:c r="C1" s="3" t="str">
        <x:v>Route m</x:v>
      </x:c>
      <x:c r="D1" s="3" t="str">
        <x:v>Voltage V</x:v>
      </x:c>
      <x:c r="E1" s="3" t="str">
        <x:v>PF assumption</x:v>
      </x:c>
      <x:c r="F1" s="3" t="str">
        <x:v>Cable specification</x:v>
      </x:c>
      <x:c r="G1" s="3" t="str">
        <x:v>Protection</x:v>
      </x:c>
      <x:c r="H1" s="3" t="str">
        <x:v>Design current A</x:v>
      </x:c>
      <x:c r="I1" s="3" t="str">
        <x:v>Voltage drop %</x:v>
      </x:c>
      <x:c r="J1" s="3" t="str">
        <x:v>Status</x:v>
      </x:c>
    </x:row>
    <x:row r="2">
      <x:c r="A2" t="str">
        <x:v>F-01</x:v>
      </x:c>
      <x:c r="B2" t="str">
        <x:v>Transformer -&gt; MDB</x:v>
      </x:c>
      <x:c r="C2" t="n">
        <x:v>35</x:v>
      </x:c>
      <x:c r="D2" t="n">
        <x:v>400</x:v>
      </x:c>
      <x:c r="E2" t="n">
        <x:v>0.9</x:v>
      </x:c>
      <x:c r="F2" t="str">
        <x:v>Parallel conductors / busduct TBD</x:v>
      </x:c>
      <x:c r="G2" t="str">
        <x:v>Incomer ACB TBD</x:v>
      </x:c>
      <x:c r="H2"/>
      <x:c r="I2"/>
      <x:c r="J2" t="str">
        <x:v>HOLD: Iz, I2, Icu/Ics, Zs, adiabatic, selectivity</x:v>
      </x:c>
    </x:row>
    <x:row r="3">
      <x:c r="A3" t="str">
        <x:v>F-02</x:v>
      </x:c>
      <x:c r="B3" t="str">
        <x:v>MDB -&gt; MCC-1</x:v>
      </x:c>
      <x:c r="C3" t="n">
        <x:v>55</x:v>
      </x:c>
      <x:c r="D3" t="n">
        <x:v>400</x:v>
      </x:c>
      <x:c r="E3" t="n">
        <x:v>0.88</x:v>
      </x:c>
      <x:c r="F3" t="str">
        <x:v>Candidate route; size pending</x:v>
      </x:c>
      <x:c r="G3" t="str">
        <x:v>MCCB TBD</x:v>
      </x:c>
      <x:c r="H3"/>
      <x:c r="I3"/>
      <x:c r="J3" t="str">
        <x:v>HOLD: Iz, I2, Icu/Ics, Zs, adiabatic, selectivity</x:v>
      </x:c>
    </x:row>
    <x:row r="4">
      <x:c r="A4" t="str">
        <x:v>F-03</x:v>
      </x:c>
      <x:c r="B4" t="str">
        <x:v>MDB -&gt; MCC-2</x:v>
      </x:c>
      <x:c r="C4" t="n">
        <x:v>65</x:v>
      </x:c>
      <x:c r="D4" t="n">
        <x:v>400</x:v>
      </x:c>
      <x:c r="E4" t="n">
        <x:v>0.88</x:v>
      </x:c>
      <x:c r="F4" t="str">
        <x:v>Candidate route; size pending</x:v>
      </x:c>
      <x:c r="G4" t="str">
        <x:v>MCCB TBD</x:v>
      </x:c>
      <x:c r="H4"/>
      <x:c r="I4"/>
      <x:c r="J4" t="str">
        <x:v>HOLD: Iz, I2, Icu/Ics, Zs, adiabatic, selectivity</x:v>
      </x:c>
    </x:row>
    <x:row r="5">
      <x:c r="A5" t="str">
        <x:v>F-04</x:v>
      </x:c>
      <x:c r="B5" t="str">
        <x:v>MDB -&gt; LDB</x:v>
      </x:c>
      <x:c r="C5" t="n">
        <x:v>70</x:v>
      </x:c>
      <x:c r="D5" t="n">
        <x:v>400</x:v>
      </x:c>
      <x:c r="E5" t="n">
        <x:v>0.9</x:v>
      </x:c>
      <x:c r="F5" t="str">
        <x:v>Candidate route; size pending</x:v>
      </x:c>
      <x:c r="G5" t="str">
        <x:v>MCCB TBD</x:v>
      </x:c>
      <x:c r="H5"/>
      <x:c r="I5"/>
      <x:c r="J5" t="str">
        <x:v>HOLD: Iz, I2, Icu/Ics, Zs, adiabatic, selectivity</x:v>
      </x:c>
    </x:row>
    <x:row r="6">
      <x:c r="A6" t="str">
        <x:v>F-05</x:v>
      </x:c>
      <x:c r="B6" t="str">
        <x:v>MDB -&gt; Office DB</x:v>
      </x:c>
      <x:c r="C6" t="n">
        <x:v>85</x:v>
      </x:c>
      <x:c r="D6" t="n">
        <x:v>400</x:v>
      </x:c>
      <x:c r="E6" t="n">
        <x:v>0.9</x:v>
      </x:c>
      <x:c r="F6" t="str">
        <x:v>Candidate route; size pending</x:v>
      </x:c>
      <x:c r="G6" t="str">
        <x:v>MCCB TBD</x:v>
      </x:c>
      <x:c r="H6"/>
      <x:c r="I6"/>
      <x:c r="J6" t="str">
        <x:v>HOLD: Iz, I2, Icu/Ics, Zs, adiabatic, selectivity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6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42" hidden="0" customWidth="1"/>
  </x:cols>
  <x:sheetData>
    <x:row r="1" ht="28" customHeight="1">
      <x:c r="A1" s="3" t="str">
        <x:v>Circuit</x:v>
      </x:c>
      <x:c r="B1" s="3" t="str">
        <x:v>Upstream</x:v>
      </x:c>
      <x:c r="C1" s="3" t="str">
        <x:v>Downstream</x:v>
      </x:c>
      <x:c r="D1" s="3" t="str">
        <x:v>Ib A</x:v>
      </x:c>
      <x:c r="E1" s="3" t="str">
        <x:v>In A</x:v>
      </x:c>
      <x:c r="F1" s="3" t="str">
        <x:v>Iz A</x:v>
      </x:c>
      <x:c r="G1" s="3" t="str">
        <x:v>Icu/Ics kA</x:v>
      </x:c>
      <x:c r="H1" s="3" t="str">
        <x:v>Ik min kA</x:v>
      </x:c>
      <x:c r="I1" s="3" t="str">
        <x:v>Ik max kA</x:v>
      </x:c>
      <x:c r="J1" s="3" t="str">
        <x:v>Trip settings</x:v>
      </x:c>
      <x:c r="K1" s="3" t="str">
        <x:v>Status</x:v>
      </x:c>
    </x:row>
    <x:row r="2">
      <x:c r="A2" t="str">
        <x:v>F-01</x:v>
      </x:c>
      <x:c r="B2" t="str">
        <x:v>TBD</x:v>
      </x:c>
      <x:c r="C2" t="str">
        <x:v>TBD</x:v>
      </x:c>
      <x:c r="D2"/>
      <x:c r="E2"/>
      <x:c r="F2"/>
      <x:c r="G2"/>
      <x:c r="H2"/>
      <x:c r="I2"/>
      <x:c r="J2" t="str">
        <x:v>TBD</x:v>
      </x:c>
      <x:c r="K2" t="str">
        <x:v>HOLD - obtain network fault study</x:v>
      </x:c>
    </x:row>
    <x:row r="3">
      <x:c r="A3" t="str">
        <x:v>F-02</x:v>
      </x:c>
      <x:c r="B3" t="str">
        <x:v>TBD</x:v>
      </x:c>
      <x:c r="C3" t="str">
        <x:v>TBD</x:v>
      </x:c>
      <x:c r="D3"/>
      <x:c r="E3"/>
      <x:c r="F3"/>
      <x:c r="G3"/>
      <x:c r="H3"/>
      <x:c r="I3"/>
      <x:c r="J3" t="str">
        <x:v>TBD</x:v>
      </x:c>
      <x:c r="K3" t="str">
        <x:v>HOLD - obtain network fault study</x:v>
      </x:c>
    </x:row>
    <x:row r="4">
      <x:c r="A4" t="str">
        <x:v>F-03</x:v>
      </x:c>
      <x:c r="B4" t="str">
        <x:v>TBD</x:v>
      </x:c>
      <x:c r="C4" t="str">
        <x:v>TBD</x:v>
      </x:c>
      <x:c r="D4"/>
      <x:c r="E4"/>
      <x:c r="F4"/>
      <x:c r="G4"/>
      <x:c r="H4"/>
      <x:c r="I4"/>
      <x:c r="J4" t="str">
        <x:v>TBD</x:v>
      </x:c>
      <x:c r="K4" t="str">
        <x:v>HOLD - obtain network fault study</x:v>
      </x:c>
    </x:row>
    <x:row r="5">
      <x:c r="A5" t="str">
        <x:v>F-04</x:v>
      </x:c>
      <x:c r="B5" t="str">
        <x:v>TBD</x:v>
      </x:c>
      <x:c r="C5" t="str">
        <x:v>TBD</x:v>
      </x:c>
      <x:c r="D5"/>
      <x:c r="E5"/>
      <x:c r="F5"/>
      <x:c r="G5"/>
      <x:c r="H5"/>
      <x:c r="I5"/>
      <x:c r="J5" t="str">
        <x:v>TBD</x:v>
      </x:c>
      <x:c r="K5" t="str">
        <x:v>HOLD - obtain network fault study</x:v>
      </x:c>
    </x:row>
    <x:row r="6">
      <x:c r="A6" t="str">
        <x:v>F-05</x:v>
      </x:c>
      <x:c r="B6" t="str">
        <x:v>TBD</x:v>
      </x:c>
      <x:c r="C6" t="str">
        <x:v>TBD</x:v>
      </x:c>
      <x:c r="D6"/>
      <x:c r="E6"/>
      <x:c r="F6"/>
      <x:c r="G6"/>
      <x:c r="H6"/>
      <x:c r="I6"/>
      <x:c r="J6" t="str">
        <x:v>TBD</x:v>
      </x:c>
      <x:c r="K6" t="str">
        <x:v>HOLD - obtain network fault study</x:v>
      </x:c>
    </x:row>
    <x:row r="7">
      <x:c r="A7" t="str">
        <x:v>M-04</x:v>
      </x:c>
      <x:c r="B7" t="str">
        <x:v>MCC feeder</x:v>
      </x:c>
      <x:c r="C7" t="str">
        <x:v>Star-delta motor O/L</x:v>
      </x:c>
      <x:c r="D7"/>
      <x:c r="E7"/>
      <x:c r="F7"/>
      <x:c r="G7"/>
      <x:c r="H7"/>
      <x:c r="I7"/>
      <x:c r="J7" t="str">
        <x:v>TBD</x:v>
      </x:c>
      <x:c r="K7" t="str">
        <x:v>HOLD - starter and motor nameplate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39" hidden="0" customWidth="1"/>
    <x:col min="5" max="5" width="18" hidden="0" customWidth="1"/>
    <x:col min="6" max="6" width="22" hidden="0" customWidth="1"/>
    <x:col min="7" max="7" width="29" hidden="0" customWidth="1"/>
    <x:col min="8" max="8" width="17" hidden="0" customWidth="1"/>
    <x:col min="9" max="9" width="39" hidden="0" customWidth="1"/>
  </x:cols>
  <x:sheetData>
    <x:row r="1" ht="28" customHeight="1">
      <x:c r="A1" s="3" t="str">
        <x:v>Panel</x:v>
      </x:c>
      <x:c r="B1" s="3" t="str">
        <x:v>Supply</x:v>
      </x:c>
      <x:c r="C1" s="3" t="str">
        <x:v>Location</x:v>
      </x:c>
      <x:c r="D1" s="3" t="str">
        <x:v>Loads served</x:v>
      </x:c>
      <x:c r="E1" s="3" t="str">
        <x:v>Rated busbar A</x:v>
      </x:c>
      <x:c r="F1" s="3" t="str">
        <x:v>Incomer</x:v>
      </x:c>
      <x:c r="G1" s="3" t="str">
        <x:v>Outgoing circuits</x:v>
      </x:c>
      <x:c r="H1" s="3" t="str">
        <x:v>IP / Form</x:v>
      </x:c>
      <x:c r="I1" s="3" t="str">
        <x:v>Status</x:v>
      </x:c>
    </x:row>
    <x:row r="2">
      <x:c r="A2" t="str">
        <x:v>MDB</x:v>
      </x:c>
      <x:c r="B2" t="str">
        <x:v>630 kVA transformer</x:v>
      </x:c>
      <x:c r="C2" t="str">
        <x:v>Electrical room</x:v>
      </x:c>
      <x:c r="D2" t="str">
        <x:v>MCC1, MCC2, LDB, office</x:v>
      </x:c>
      <x:c r="E2"/>
      <x:c r="F2" t="str">
        <x:v>ACB TBD</x:v>
      </x:c>
      <x:c r="G2" t="str">
        <x:v>5 + spare</x:v>
      </x:c>
      <x:c r="H2" t="str">
        <x:v>TBD</x:v>
      </x:c>
      <x:c r="I2" t="str">
        <x:v>Concept only</x:v>
      </x:c>
    </x:row>
    <x:row r="3">
      <x:c r="A3" t="str">
        <x:v>MCC-1</x:v>
      </x:c>
      <x:c r="B3" t="str">
        <x:v>MDB F-02</x:v>
      </x:c>
      <x:c r="C3" t="str">
        <x:v>Production hall north</x:v>
      </x:c>
      <x:c r="D3" t="str">
        <x:v>M01, M02, M03, M04</x:v>
      </x:c>
      <x:c r="E3"/>
      <x:c r="F3" t="str">
        <x:v>MCCB TBD</x:v>
      </x:c>
      <x:c r="G3" t="str">
        <x:v>4 + spare</x:v>
      </x:c>
      <x:c r="H3" t="str">
        <x:v>TBD</x:v>
      </x:c>
      <x:c r="I3" t="str">
        <x:v>Control drawings preliminary</x:v>
      </x:c>
    </x:row>
    <x:row r="4">
      <x:c r="A4" t="str">
        <x:v>MCC-2</x:v>
      </x:c>
      <x:c r="B4" t="str">
        <x:v>MDB F-03</x:v>
      </x:c>
      <x:c r="C4" t="str">
        <x:v>Utilities room</x:v>
      </x:c>
      <x:c r="D4" t="str">
        <x:v>M05 to M09</x:v>
      </x:c>
      <x:c r="E4"/>
      <x:c r="F4" t="str">
        <x:v>MCCB TBD</x:v>
      </x:c>
      <x:c r="G4" t="str">
        <x:v>5 + spare</x:v>
      </x:c>
      <x:c r="H4" t="str">
        <x:v>TBD</x:v>
      </x:c>
      <x:c r="I4" t="str">
        <x:v>Control drawings preliminary</x:v>
      </x:c>
    </x:row>
    <x:row r="5">
      <x:c r="A5" t="str">
        <x:v>LDB</x:v>
      </x:c>
      <x:c r="B5" t="str">
        <x:v>MDB F-04</x:v>
      </x:c>
      <x:c r="C5" t="str">
        <x:v>Warehouse</x:v>
      </x:c>
      <x:c r="D5" t="str">
        <x:v>Lighting zones</x:v>
      </x:c>
      <x:c r="E5"/>
      <x:c r="F5" t="str">
        <x:v>MCCB TBD</x:v>
      </x:c>
      <x:c r="G5" t="str">
        <x:v>Lighting final circuits</x:v>
      </x:c>
      <x:c r="H5" t="str">
        <x:v>TBD</x:v>
      </x:c>
      <x:c r="I5" t="str">
        <x:v>Photometric design pending</x:v>
      </x:c>
    </x:row>
    <x:row r="6">
      <x:c r="A6" t="str">
        <x:v>ODB</x:v>
      </x:c>
      <x:c r="B6" t="str">
        <x:v>MDB F-05</x:v>
      </x:c>
      <x:c r="C6" t="str">
        <x:v>Office</x:v>
      </x:c>
      <x:c r="D6" t="str">
        <x:v>Office / sockets</x:v>
      </x:c>
      <x:c r="E6"/>
      <x:c r="F6" t="str">
        <x:v>MCCB TBD</x:v>
      </x:c>
      <x:c r="G6" t="str">
        <x:v>Final circuits TBD</x:v>
      </x:c>
      <x:c r="H6" t="str">
        <x:v>TBD</x:v>
      </x:c>
      <x:c r="I6" t="str">
        <x:v>Room schedule pending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3" hidden="0" customWidth="1"/>
    <x:col min="4" max="4" width="29" hidden="0" customWidth="1"/>
    <x:col min="5" max="5" width="20" hidden="0" customWidth="1"/>
    <x:col min="6" max="6" width="23" hidden="0" customWidth="1"/>
    <x:col min="7" max="7" width="55" hidden="0" customWidth="1"/>
  </x:cols>
  <x:sheetData>
    <x:row r="1" ht="28" customHeight="1">
      <x:c r="A1" s="3" t="str">
        <x:v>Tag</x:v>
      </x:c>
      <x:c r="B1" s="3" t="str">
        <x:v>Signal</x:v>
      </x:c>
      <x:c r="C1" s="3" t="str">
        <x:v>Type</x:v>
      </x:c>
      <x:c r="D1" s="3" t="str">
        <x:v>Function</x:v>
      </x:c>
      <x:c r="E1" s="3" t="str">
        <x:v>Terminal</x:v>
      </x:c>
      <x:c r="F1" s="3" t="str">
        <x:v>Contact state</x:v>
      </x:c>
      <x:c r="G1" s="3" t="str">
        <x:v>Design note</x:v>
      </x:c>
    </x:row>
    <x:row r="2">
      <x:c r="A2" t="str">
        <x:v>M-07</x:v>
      </x:c>
      <x:c r="B2" t="str">
        <x:v>START PB</x:v>
      </x:c>
      <x:c r="C2" t="str">
        <x:v>DI</x:v>
      </x:c>
      <x:c r="D2" t="str">
        <x:v>Start command</x:v>
      </x:c>
      <x:c r="E2" t="str">
        <x:v>X1:1-2</x:v>
      </x:c>
      <x:c r="F2" t="str">
        <x:v>NO</x:v>
      </x:c>
      <x:c r="G2" t="str">
        <x:v>DOL control</x:v>
      </x:c>
    </x:row>
    <x:row r="3">
      <x:c r="A3" t="str">
        <x:v>M-07</x:v>
      </x:c>
      <x:c r="B3" t="str">
        <x:v>STOP PB</x:v>
      </x:c>
      <x:c r="C3" t="str">
        <x:v>DI</x:v>
      </x:c>
      <x:c r="D3" t="str">
        <x:v>Stop command</x:v>
      </x:c>
      <x:c r="E3" t="str">
        <x:v>X1:3-4</x:v>
      </x:c>
      <x:c r="F3" t="str">
        <x:v>NC</x:v>
      </x:c>
      <x:c r="G3" t="str">
        <x:v>Fail-safe series circuit</x:v>
      </x:c>
    </x:row>
    <x:row r="4">
      <x:c r="A4" t="str">
        <x:v>M-07</x:v>
      </x:c>
      <x:c r="B4" t="str">
        <x:v>E-STOP</x:v>
      </x:c>
      <x:c r="C4" t="str">
        <x:v>DI</x:v>
      </x:c>
      <x:c r="D4" t="str">
        <x:v>Safety function request</x:v>
      </x:c>
      <x:c r="E4" t="str">
        <x:v>X1:5-6</x:v>
      </x:c>
      <x:c r="F4" t="str">
        <x:v>NC</x:v>
      </x:c>
      <x:c r="G4" t="str">
        <x:v>Safety category/PL to be assessed</x:v>
      </x:c>
    </x:row>
    <x:row r="5">
      <x:c r="A5" t="str">
        <x:v>M-07</x:v>
      </x:c>
      <x:c r="B5" t="str">
        <x:v>OL 95-96</x:v>
      </x:c>
      <x:c r="C5" t="str">
        <x:v>DI</x:v>
      </x:c>
      <x:c r="D5" t="str">
        <x:v>Overload trip interlock</x:v>
      </x:c>
      <x:c r="E5" t="str">
        <x:v>X1:7-8</x:v>
      </x:c>
      <x:c r="F5" t="str">
        <x:v>NC</x:v>
      </x:c>
      <x:c r="G5" t="str">
        <x:v>Reset philosophy TBD</x:v>
      </x:c>
    </x:row>
    <x:row r="6">
      <x:c r="A6" t="str">
        <x:v>M-07</x:v>
      </x:c>
      <x:c r="B6" t="str">
        <x:v>KM1 coil</x:v>
      </x:c>
      <x:c r="C6" t="str">
        <x:v>DO</x:v>
      </x:c>
      <x:c r="D6" t="str">
        <x:v>Contactor control</x:v>
      </x:c>
      <x:c r="E6" t="str">
        <x:v>A1/A2</x:v>
      </x:c>
      <x:c r="F6" t="str">
        <x:v>24 VDC provisional</x:v>
      </x:c>
      <x:c r="G6" t="str">
        <x:v>Coil supply TBD</x:v>
      </x:c>
    </x:row>
    <x:row r="7">
      <x:c r="A7" t="str">
        <x:v>M-01</x:v>
      </x:c>
      <x:c r="B7" t="str">
        <x:v>VFD RUN</x:v>
      </x:c>
      <x:c r="C7" t="str">
        <x:v>DI</x:v>
      </x:c>
      <x:c r="D7" t="str">
        <x:v>Run permissive</x:v>
      </x:c>
      <x:c r="E7" t="str">
        <x:v>X2:1-2</x:v>
      </x:c>
      <x:c r="F7" t="str">
        <x:v>TBD</x:v>
      </x:c>
      <x:c r="G7" t="str">
        <x:v>Vendor terminal mapping TBD</x:v>
      </x:c>
    </x:row>
    <x:row r="8">
      <x:c r="A8" t="str">
        <x:v>M-01</x:v>
      </x:c>
      <x:c r="B8" t="str">
        <x:v>VFD FAULT</x:v>
      </x:c>
      <x:c r="C8" t="str">
        <x:v>DO</x:v>
      </x:c>
      <x:c r="D8" t="str">
        <x:v>Fault indication</x:v>
      </x:c>
      <x:c r="E8" t="str">
        <x:v>X2:3-4</x:v>
      </x:c>
      <x:c r="F8" t="str">
        <x:v>TBD</x:v>
      </x:c>
      <x:c r="G8" t="str">
        <x:v>Vendor terminal mapping TBD</x:v>
      </x:c>
    </x:row>
    <x:row r="9">
      <x:c r="A9" t="str">
        <x:v>M-04</x:v>
      </x:c>
      <x:c r="B9" t="str">
        <x:v>KM-M/KM-Y/KM-D</x:v>
      </x:c>
      <x:c r="C9" t="str">
        <x:v>DO</x:v>
      </x:c>
      <x:c r="D9" t="str">
        <x:v>Star delta sequence</x:v>
      </x:c>
      <x:c r="E9" t="str">
        <x:v>X3:TBD</x:v>
      </x:c>
      <x:c r="F9" t="str">
        <x:v>TBD</x:v>
      </x:c>
      <x:c r="G9" t="str">
        <x:v>Electrical/mechanical interlocks and timing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8" hidden="0" customWidth="1"/>
    <x:col min="5" max="5" width="19" hidden="0" customWidth="1"/>
    <x:col min="6" max="6" width="20" hidden="0" customWidth="1"/>
    <x:col min="7" max="7" width="40" hidden="0" customWidth="1"/>
  </x:cols>
  <x:sheetData>
    <x:row r="1" ht="28" customHeight="1">
      <x:c r="A1" s="3" t="str">
        <x:v>Segment</x:v>
      </x:c>
      <x:c r="B1" s="3" t="str">
        <x:v>From</x:v>
      </x:c>
      <x:c r="C1" s="3" t="str">
        <x:v>To</x:v>
      </x:c>
      <x:c r="D1" s="3" t="str">
        <x:v>Method</x:v>
      </x:c>
      <x:c r="E1" s="3" t="str">
        <x:v>Estimated m</x:v>
      </x:c>
      <x:c r="F1" s="3" t="str">
        <x:v>Area</x:v>
      </x:c>
      <x:c r="G1" s="3" t="str">
        <x:v>Site check</x:v>
      </x:c>
    </x:row>
    <x:row r="2">
      <x:c r="A2" t="str">
        <x:v>R01</x:v>
      </x:c>
      <x:c r="B2" t="str">
        <x:v>Transformer</x:v>
      </x:c>
      <x:c r="C2" t="str">
        <x:v>MDB</x:v>
      </x:c>
      <x:c r="D2" t="str">
        <x:v>Trench/busduct</x:v>
      </x:c>
      <x:c r="E2" t="n">
        <x:v>35</x:v>
      </x:c>
      <x:c r="F2" t="str">
        <x:v>Electrical room</x:v>
      </x:c>
      <x:c r="G2" t="str">
        <x:v>Measure</x:v>
      </x:c>
    </x:row>
    <x:row r="3">
      <x:c r="A3" t="str">
        <x:v>R02</x:v>
      </x:c>
      <x:c r="B3" t="str">
        <x:v>MDB</x:v>
      </x:c>
      <x:c r="C3" t="str">
        <x:v>MCC-1</x:v>
      </x:c>
      <x:c r="D3" t="str">
        <x:v>Overhead tray</x:v>
      </x:c>
      <x:c r="E3" t="n">
        <x:v>55</x:v>
      </x:c>
      <x:c r="F3" t="str">
        <x:v>Production</x:v>
      </x:c>
      <x:c r="G3" t="str">
        <x:v>Check tray loading</x:v>
      </x:c>
    </x:row>
    <x:row r="4">
      <x:c r="A4" t="str">
        <x:v>R03</x:v>
      </x:c>
      <x:c r="B4" t="str">
        <x:v>MDB</x:v>
      </x:c>
      <x:c r="C4" t="str">
        <x:v>MCC-2</x:v>
      </x:c>
      <x:c r="D4" t="str">
        <x:v>Overhead tray</x:v>
      </x:c>
      <x:c r="E4" t="n">
        <x:v>65</x:v>
      </x:c>
      <x:c r="F4" t="str">
        <x:v>Utilities</x:v>
      </x:c>
      <x:c r="G4" t="str">
        <x:v>Check fire segregation</x:v>
      </x:c>
    </x:row>
    <x:row r="5">
      <x:c r="A5" t="str">
        <x:v>R04</x:v>
      </x:c>
      <x:c r="B5" t="str">
        <x:v>MDB</x:v>
      </x:c>
      <x:c r="C5" t="str">
        <x:v>LDB</x:v>
      </x:c>
      <x:c r="D5" t="str">
        <x:v>Overhead tray</x:v>
      </x:c>
      <x:c r="E5" t="n">
        <x:v>70</x:v>
      </x:c>
      <x:c r="F5" t="str">
        <x:v>Warehouse</x:v>
      </x:c>
      <x:c r="G5" t="str">
        <x:v>Check supports</x:v>
      </x:c>
    </x:row>
    <x:row r="6">
      <x:c r="A6" t="str">
        <x:v>R05</x:v>
      </x:c>
      <x:c r="B6" t="str">
        <x:v>MDB</x:v>
      </x:c>
      <x:c r="C6" t="str">
        <x:v>Office DB</x:v>
      </x:c>
      <x:c r="D6" t="str">
        <x:v>Tray/conduit</x:v>
      </x:c>
      <x:c r="E6" t="n">
        <x:v>85</x:v>
      </x:c>
      <x:c r="F6" t="str">
        <x:v>Office</x:v>
      </x:c>
      <x:c r="G6" t="str">
        <x:v>Check vertical riser</x:v>
      </x:c>
    </x:row>
    <x:row r="7">
      <x:c r="A7" t="str">
        <x:v>R06</x:v>
      </x:c>
      <x:c r="B7" t="str">
        <x:v>MCC-1</x:v>
      </x:c>
      <x:c r="C7" t="str">
        <x:v>Motor M-04</x:v>
      </x:c>
      <x:c r="D7" t="str">
        <x:v>Tray + flexible tail</x:v>
      </x:c>
      <x:c r="E7" t="n">
        <x:v>55</x:v>
      </x:c>
      <x:c r="F7" t="str">
        <x:v>Production</x:v>
      </x:c>
      <x:c r="G7" t="str">
        <x:v>Check vibration</x:v>
      </x:c>
    </x:row>
    <x:row r="8">
      <x:c r="A8" t="str">
        <x:v>R07</x:v>
      </x:c>
      <x:c r="B8" t="str">
        <x:v>MCC-2</x:v>
      </x:c>
      <x:c r="C8" t="str">
        <x:v>Motor M-06</x:v>
      </x:c>
      <x:c r="D8" t="str">
        <x:v>Tray + flexible tail</x:v>
      </x:c>
      <x:c r="E8" t="n">
        <x:v>75</x:v>
      </x:c>
      <x:c r="F8" t="str">
        <x:v>Utilities</x:v>
      </x:c>
      <x:c r="G8" t="str">
        <x:v>Check environment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12" hidden="0" customWidth="1"/>
    <x:col min="4" max="4" width="13" hidden="0" customWidth="1"/>
    <x:col min="5" max="5" width="21" hidden="0" customWidth="1"/>
    <x:col min="6" max="6" width="22" hidden="0" customWidth="1"/>
    <x:col min="7" max="7" width="21" hidden="0" customWidth="1"/>
    <x:col min="8" max="8" width="36" hidden="0" customWidth="1"/>
  </x:cols>
  <x:sheetData>
    <x:row r="1" ht="28" customHeight="1">
      <x:c r="A1" s="3" t="str">
        <x:v>Code</x:v>
      </x:c>
      <x:c r="B1" s="3" t="str">
        <x:v>Description</x:v>
      </x:c>
      <x:c r="C1" s="3" t="str">
        <x:v>Unit</x:v>
      </x:c>
      <x:c r="D1" s="3" t="str">
        <x:v>Qty</x:v>
      </x:c>
      <x:c r="E1" s="3" t="str">
        <x:v>Unit rate LKR</x:v>
      </x:c>
      <x:c r="F1" s="3" t="str">
        <x:v>Amount LKR</x:v>
      </x:c>
      <x:c r="G1" s="3" t="str">
        <x:v>Quote status</x:v>
      </x:c>
      <x:c r="H1" s="3" t="str">
        <x:v>Basis</x:v>
      </x:c>
    </x:row>
    <x:row r="2">
      <x:c r="A2" t="str">
        <x:v>EL-01</x:v>
      </x:c>
      <x:c r="B2" t="str">
        <x:v>630 kVA transformer</x:v>
      </x:c>
      <x:c r="C2" t="str">
        <x:v>No</x:v>
      </x:c>
      <x:c r="D2" t="n">
        <x:v>1</x:v>
      </x:c>
      <x:c r="E2"/>
      <x:c r="F2" t="str">
        <x:f>IF(E2="","",D2*E2)</x:f>
      </x:c>
      <x:c r="G2" t="str">
        <x:v>UNQUOTED</x:v>
      </x:c>
      <x:c r="H2" t="str">
        <x:v>Subject to load study</x:v>
      </x:c>
    </x:row>
    <x:row r="3">
      <x:c r="A3" t="str">
        <x:v>EL-02</x:v>
      </x:c>
      <x:c r="B3" t="str">
        <x:v>MDB switchboard</x:v>
      </x:c>
      <x:c r="C3" t="str">
        <x:v>Set</x:v>
      </x:c>
      <x:c r="D3" t="n">
        <x:v>1</x:v>
      </x:c>
      <x:c r="E3"/>
      <x:c r="F3" t="str">
        <x:f>IF(E3="","",D3*E3)</x:f>
      </x:c>
      <x:c r="G3" t="str">
        <x:v>UNQUOTED</x:v>
      </x:c>
      <x:c r="H3" t="str">
        <x:v>Panel schedule</x:v>
      </x:c>
    </x:row>
    <x:row r="4">
      <x:c r="A4" t="str">
        <x:v>EL-03</x:v>
      </x:c>
      <x:c r="B4" t="str">
        <x:v>MCC-1 panel</x:v>
      </x:c>
      <x:c r="C4" t="str">
        <x:v>Set</x:v>
      </x:c>
      <x:c r="D4" t="n">
        <x:v>1</x:v>
      </x:c>
      <x:c r="E4"/>
      <x:c r="F4" t="str">
        <x:f>IF(E4="","",D4*E4)</x:f>
      </x:c>
      <x:c r="G4" t="str">
        <x:v>UNQUOTED</x:v>
      </x:c>
      <x:c r="H4" t="str">
        <x:v>Motor register</x:v>
      </x:c>
    </x:row>
    <x:row r="5">
      <x:c r="A5" t="str">
        <x:v>EL-04</x:v>
      </x:c>
      <x:c r="B5" t="str">
        <x:v>MCC-2 panel</x:v>
      </x:c>
      <x:c r="C5" t="str">
        <x:v>Set</x:v>
      </x:c>
      <x:c r="D5" t="n">
        <x:v>1</x:v>
      </x:c>
      <x:c r="E5"/>
      <x:c r="F5" t="str">
        <x:f>IF(E5="","",D5*E5)</x:f>
      </x:c>
      <x:c r="G5" t="str">
        <x:v>UNQUOTED</x:v>
      </x:c>
      <x:c r="H5" t="str">
        <x:v>Motor register</x:v>
      </x:c>
    </x:row>
    <x:row r="6">
      <x:c r="A6" t="str">
        <x:v>EL-05</x:v>
      </x:c>
      <x:c r="B6" t="str">
        <x:v>VFD starters</x:v>
      </x:c>
      <x:c r="C6" t="str">
        <x:v>No</x:v>
      </x:c>
      <x:c r="D6" t="n">
        <x:v>5</x:v>
      </x:c>
      <x:c r="E6"/>
      <x:c r="F6" t="str">
        <x:f>IF(E6="","",D6*E6)</x:f>
      </x:c>
      <x:c r="G6" t="str">
        <x:v>UNQUOTED</x:v>
      </x:c>
      <x:c r="H6" t="str">
        <x:v>Motor register</x:v>
      </x:c>
    </x:row>
    <x:row r="7">
      <x:c r="A7" t="str">
        <x:v>EL-06</x:v>
      </x:c>
      <x:c r="B7" t="str">
        <x:v>DOL starters</x:v>
      </x:c>
      <x:c r="C7" t="str">
        <x:v>No</x:v>
      </x:c>
      <x:c r="D7" t="n">
        <x:v>3</x:v>
      </x:c>
      <x:c r="E7"/>
      <x:c r="F7" t="str">
        <x:f>IF(E7="","",D7*E7)</x:f>
      </x:c>
      <x:c r="G7" t="str">
        <x:v>UNQUOTED</x:v>
      </x:c>
      <x:c r="H7" t="str">
        <x:v>Motor register</x:v>
      </x:c>
    </x:row>
    <x:row r="8">
      <x:c r="A8" t="str">
        <x:v>EL-07</x:v>
      </x:c>
      <x:c r="B8" t="str">
        <x:v>Star-delta starter</x:v>
      </x:c>
      <x:c r="C8" t="str">
        <x:v>No</x:v>
      </x:c>
      <x:c r="D8" t="n">
        <x:v>1</x:v>
      </x:c>
      <x:c r="E8"/>
      <x:c r="F8" t="str">
        <x:f>IF(E8="","",D8*E8)</x:f>
      </x:c>
      <x:c r="G8" t="str">
        <x:v>UNQUOTED</x:v>
      </x:c>
      <x:c r="H8" t="str">
        <x:v>Motor register</x:v>
      </x:c>
    </x:row>
    <x:row r="9">
      <x:c r="A9" t="str">
        <x:v>EL-08</x:v>
      </x:c>
      <x:c r="B9" t="str">
        <x:v>Power cable and glands</x:v>
      </x:c>
      <x:c r="C9" t="str">
        <x:v>Lot</x:v>
      </x:c>
      <x:c r="D9" t="n">
        <x:v>1</x:v>
      </x:c>
      <x:c r="E9"/>
      <x:c r="F9" t="str">
        <x:f>IF(E9="","",D9*E9)</x:f>
      </x:c>
      <x:c r="G9" t="str">
        <x:v>UNQUOTED</x:v>
      </x:c>
      <x:c r="H9" t="str">
        <x:v>Route survey required</x:v>
      </x:c>
    </x:row>
    <x:row r="10">
      <x:c r="A10" t="str">
        <x:v>EL-09</x:v>
      </x:c>
      <x:c r="B10" t="str">
        <x:v>Cable tray and supports</x:v>
      </x:c>
      <x:c r="C10" t="str">
        <x:v>Lot</x:v>
      </x:c>
      <x:c r="D10" t="n">
        <x:v>1</x:v>
      </x:c>
      <x:c r="E10"/>
      <x:c r="F10" t="str">
        <x:f>IF(E10="","",D10*E10)</x:f>
      </x:c>
      <x:c r="G10" t="str">
        <x:v>UNQUOTED</x:v>
      </x:c>
      <x:c r="H10" t="str">
        <x:v>Route survey required</x:v>
      </x:c>
    </x:row>
    <x:row r="11">
      <x:c r="A11" t="str">
        <x:v>EL-10</x:v>
      </x:c>
      <x:c r="B11" t="str">
        <x:v>Earthing and bonding</x:v>
      </x:c>
      <x:c r="C11" t="str">
        <x:v>Lot</x:v>
      </x:c>
      <x:c r="D11" t="n">
        <x:v>1</x:v>
      </x:c>
      <x:c r="E11"/>
      <x:c r="F11" t="str">
        <x:f>IF(E11="","",D11*E11)</x:f>
      </x:c>
      <x:c r="G11" t="str">
        <x:v>UNQUOTED</x:v>
      </x:c>
      <x:c r="H11" t="str">
        <x:v>Soil and system study</x:v>
      </x:c>
    </x:row>
    <x:row r="12">
      <x:c r="A12" t="str">
        <x:v>EL-11</x:v>
      </x:c>
      <x:c r="B12" t="str">
        <x:v>Lighting fittings</x:v>
      </x:c>
      <x:c r="C12" t="str">
        <x:v>Lot</x:v>
      </x:c>
      <x:c r="D12" t="n">
        <x:v>1</x:v>
      </x:c>
      <x:c r="E12"/>
      <x:c r="F12" t="str">
        <x:f>IF(E12="","",D12*E12)</x:f>
      </x:c>
      <x:c r="G12" t="str">
        <x:v>UNQUOTED</x:v>
      </x:c>
      <x:c r="H12" t="str">
        <x:v>Lighting simulation</x:v>
      </x:c>
    </x:row>
    <x:row r="13">
      <x:c r="A13" t="str">
        <x:v>EL-12</x:v>
      </x:c>
      <x:c r="B13" t="str">
        <x:v>Installation and testing</x:v>
      </x:c>
      <x:c r="C13" t="str">
        <x:v>Lot</x:v>
      </x:c>
      <x:c r="D13" t="n">
        <x:v>1</x:v>
      </x:c>
      <x:c r="E13"/>
      <x:c r="F13" t="str">
        <x:f>IF(E13="","",D13*E13)</x:f>
      </x:c>
      <x:c r="G13" t="str">
        <x:v>UNQUOTED</x:v>
      </x:c>
      <x:c r="H13" t="str">
        <x:v>Contractor quote</x:v>
      </x:c>
    </x:row>
    <x:row r="14">
      <x:c r="A14" t="str"/>
      <x:c r="B14" t="str">
        <x:v>TOTAL</x:v>
      </x:c>
      <x:c r="C14"/>
      <x:c r="D14"/>
      <x:c r="E14"/>
      <x:c r="F14" t="str">
        <x:f>IF(COUNT(E2:E13)=0,"",SUM(F2:F13))</x:f>
      </x:c>
      <x:c r="G14" t="str">
        <x:v>INCOMPLETE</x:v>
      </x:c>
      <x:c r="H14" t="str">
        <x:v>No invented supplier prices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31" hidden="0" customWidth="1"/>
    <x:col min="4" max="4" width="45" hidden="0" customWidth="1"/>
    <x:col min="5" max="5" width="14" hidden="0" customWidth="1"/>
  </x:cols>
  <x:sheetData>
    <x:row r="1" ht="28" customHeight="1">
      <x:c r="A1" s="3" t="str">
        <x:v>ID</x:v>
      </x:c>
      <x:c r="B1" s="3" t="str">
        <x:v>Required verification</x:v>
      </x:c>
      <x:c r="C1" s="3" t="str">
        <x:v>Owner</x:v>
      </x:c>
      <x:c r="D1" s="3" t="str">
        <x:v>Evidence needed</x:v>
      </x:c>
      <x:c r="E1" s="3" t="str">
        <x:v>Status</x:v>
      </x:c>
    </x:row>
    <x:row r="2">
      <x:c r="A2" t="n">
        <x:v>1</x:v>
      </x:c>
      <x:c r="B2" t="str">
        <x:v>Transformer utility approval</x:v>
      </x:c>
      <x:c r="C2" t="str">
        <x:v>Design engineer / site engineer</x:v>
      </x:c>
      <x:c r="D2" t="str">
        <x:v>Utility supply offer</x:v>
      </x:c>
      <x:c r="E2" t="str">
        <x:v>OPEN</x:v>
      </x:c>
    </x:row>
    <x:row r="3">
      <x:c r="A3" t="n">
        <x:v>2</x:v>
      </x:c>
      <x:c r="B3" t="str">
        <x:v>Prospective fault levels</x:v>
      </x:c>
      <x:c r="C3" t="str">
        <x:v>Design engineer / site engineer</x:v>
      </x:c>
      <x:c r="D3" t="str">
        <x:v>Network short circuit study</x:v>
      </x:c>
      <x:c r="E3" t="str">
        <x:v>OPEN</x:v>
      </x:c>
    </x:row>
    <x:row r="4">
      <x:c r="A4" t="n">
        <x:v>3</x:v>
      </x:c>
      <x:c r="B4" t="str">
        <x:v>Earthing arrangement and soil</x:v>
      </x:c>
      <x:c r="C4" t="str">
        <x:v>Design engineer / site engineer</x:v>
      </x:c>
      <x:c r="D4" t="str">
        <x:v>Survey and earthing design</x:v>
      </x:c>
      <x:c r="E4" t="str">
        <x:v>OPEN</x:v>
      </x:c>
    </x:row>
    <x:row r="5">
      <x:c r="A5" t="n">
        <x:v>4</x:v>
      </x:c>
      <x:c r="B5" t="str">
        <x:v>Cable Iz correction and voltage drop</x:v>
      </x:c>
      <x:c r="C5" t="str">
        <x:v>Design engineer / site engineer</x:v>
      </x:c>
      <x:c r="D5" t="str">
        <x:v>Datasheets and installation conditions</x:v>
      </x:c>
      <x:c r="E5" t="str">
        <x:v>OPEN</x:v>
      </x:c>
    </x:row>
    <x:row r="6">
      <x:c r="A6" t="n">
        <x:v>5</x:v>
      </x:c>
      <x:c r="B6" t="str">
        <x:v>Protection discrimination</x:v>
      </x:c>
      <x:c r="C6" t="str">
        <x:v>Design engineer / site engineer</x:v>
      </x:c>
      <x:c r="D6" t="str">
        <x:v>Time-current curves and fault study</x:v>
      </x:c>
      <x:c r="E6" t="str">
        <x:v>OPEN</x:v>
      </x:c>
    </x:row>
    <x:row r="7">
      <x:c r="A7" t="n">
        <x:v>6</x:v>
      </x:c>
      <x:c r="B7" t="str">
        <x:v>Motor starting and VFD harmonics</x:v>
      </x:c>
      <x:c r="C7" t="str">
        <x:v>Design engineer / site engineer</x:v>
      </x:c>
      <x:c r="D7" t="str">
        <x:v>Starting and harmonic study</x:v>
      </x:c>
      <x:c r="E7" t="str">
        <x:v>OPEN</x:v>
      </x:c>
    </x:row>
    <x:row r="8">
      <x:c r="A8" t="n">
        <x:v>7</x:v>
      </x:c>
      <x:c r="B8" t="str">
        <x:v>MCC safety / E-stop</x:v>
      </x:c>
      <x:c r="C8" t="str">
        <x:v>Design engineer / site engineer</x:v>
      </x:c>
      <x:c r="D8" t="str">
        <x:v>Risk assessment and safety design</x:v>
      </x:c>
      <x:c r="E8" t="str">
        <x:v>OPEN</x:v>
      </x:c>
    </x:row>
    <x:row r="9">
      <x:c r="A9" t="n">
        <x:v>8</x:v>
      </x:c>
      <x:c r="B9" t="str">
        <x:v>Lighting lux and emergency lights</x:v>
      </x:c>
      <x:c r="C9" t="str">
        <x:v>Design engineer / site engineer</x:v>
      </x:c>
      <x:c r="D9" t="str">
        <x:v>Photometric calculations</x:v>
      </x:c>
      <x:c r="E9" t="str">
        <x:v>OPEN</x:v>
      </x:c>
    </x:row>
    <x:row r="10">
      <x:c r="A10" t="n">
        <x:v>9</x:v>
      </x:c>
      <x:c r="B10" t="str">
        <x:v>Arc flash and panel design</x:v>
      </x:c>
      <x:c r="C10" t="str">
        <x:v>Design engineer / site engineer</x:v>
      </x:c>
      <x:c r="D10" t="str">
        <x:v>Applicable risk assessment</x:v>
      </x:c>
      <x:c r="E10" t="str">
        <x:v>OPEN</x:v>
      </x:c>
    </x:row>
    <x:row r="11">
      <x:c r="A11" t="n">
        <x:v>10</x:v>
      </x:c>
      <x:c r="B11" t="str">
        <x:v>Formal material pricing</x:v>
      </x:c>
      <x:c r="C11" t="str">
        <x:v>Design engineer / site engineer</x:v>
      </x:c>
      <x:c r="D11" t="str">
        <x:v>Supplier quotations</x:v>
      </x:c>
      <x:c r="E11" t="str">
        <x:v>OPEN</x:v>
      </x:c>
    </x:row>
  </x:sheetData>
  <x:pageMargins left="0.7" right="0.7" top="0.75" bottom="0.75" header="0.3" footer="0.3"/>
</x:worksheet>
</file>